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kingstonuniversity-my.sharepoint.com/personal/k2453742_kingston_ac_uk/Documents/Kingston University/Project Dessertation - Research/Report Paper Staging Area/Submitted/"/>
    </mc:Choice>
  </mc:AlternateContent>
  <xr:revisionPtr revIDLastSave="86" documentId="8_{DA210D5E-C137-47E3-95FB-3170F95595D6}" xr6:coauthVersionLast="47" xr6:coauthVersionMax="47" xr10:uidLastSave="{81142F1A-59C4-456A-A7C9-7CE7E23257D8}"/>
  <bookViews>
    <workbookView xWindow="30180" yWindow="1635" windowWidth="21600" windowHeight="12045" activeTab="2" xr2:uid="{00000000-000D-0000-FFFF-FFFF00000000}"/>
  </bookViews>
  <sheets>
    <sheet name="Sheet1" sheetId="1" r:id="rId1"/>
    <sheet name="x256 testsets" sheetId="2" r:id="rId2"/>
    <sheet name="x256 testsets (2)" sheetId="3" r:id="rId3"/>
  </sheets>
  <definedNames>
    <definedName name="_xlnm._FilterDatabase" localSheetId="0" hidden="1">Sheet1!$A$1:$F$17</definedName>
    <definedName name="_xlnm._FilterDatabase" localSheetId="1" hidden="1">'x256 testsets'!$A$1:$F$20</definedName>
    <definedName name="_xlnm._FilterDatabase" localSheetId="2" hidden="1">'x256 testsets (2)'!$A$1:$F$20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4" i="3" l="1"/>
  <c r="E14" i="3"/>
  <c r="F15" i="3"/>
  <c r="E15" i="3"/>
  <c r="F13" i="3"/>
  <c r="E13" i="3"/>
  <c r="F12" i="3"/>
  <c r="E12" i="3"/>
  <c r="F9" i="3"/>
  <c r="E9" i="3"/>
  <c r="F19" i="3"/>
  <c r="E19" i="3"/>
  <c r="F20" i="3"/>
  <c r="E20" i="3"/>
  <c r="F17" i="3"/>
  <c r="E17" i="3"/>
  <c r="F18" i="3"/>
  <c r="E18" i="3"/>
  <c r="F16" i="3"/>
  <c r="E16" i="3"/>
  <c r="F4" i="3"/>
  <c r="E4" i="3"/>
  <c r="F6" i="3"/>
  <c r="E6" i="3"/>
  <c r="F7" i="3"/>
  <c r="E7" i="3"/>
  <c r="F10" i="3"/>
  <c r="E10" i="3"/>
  <c r="F11" i="3"/>
  <c r="E11" i="3"/>
  <c r="F5" i="3"/>
  <c r="E5" i="3"/>
  <c r="F8" i="3"/>
  <c r="E8" i="3"/>
  <c r="F3" i="3"/>
  <c r="E3" i="3"/>
  <c r="E4" i="2"/>
  <c r="F4" i="2"/>
  <c r="E19" i="2"/>
  <c r="F19" i="2"/>
  <c r="E12" i="2"/>
  <c r="F12" i="2"/>
  <c r="F16" i="2"/>
  <c r="E16" i="2"/>
  <c r="F18" i="2"/>
  <c r="E18" i="2"/>
  <c r="F17" i="2"/>
  <c r="E17" i="2"/>
  <c r="F13" i="2"/>
  <c r="E13" i="2"/>
  <c r="F9" i="2"/>
  <c r="E9" i="2"/>
  <c r="F11" i="2"/>
  <c r="E11" i="2"/>
  <c r="F14" i="2"/>
  <c r="E14" i="2"/>
  <c r="F20" i="2"/>
  <c r="E20" i="2"/>
  <c r="F6" i="2"/>
  <c r="E6" i="2"/>
  <c r="F7" i="2"/>
  <c r="E7" i="2"/>
  <c r="F10" i="2"/>
  <c r="E10" i="2"/>
  <c r="F15" i="2"/>
  <c r="E15" i="2"/>
  <c r="F5" i="2"/>
  <c r="E5" i="2"/>
  <c r="F8" i="2"/>
  <c r="E8" i="2"/>
  <c r="F3" i="2"/>
  <c r="E3" i="2"/>
  <c r="D4" i="1"/>
  <c r="D5" i="1"/>
  <c r="D6" i="1"/>
  <c r="D7" i="1"/>
  <c r="D8" i="1"/>
  <c r="D9" i="1"/>
  <c r="D10" i="1"/>
  <c r="D13" i="1"/>
  <c r="D14" i="1"/>
  <c r="D15" i="1"/>
  <c r="D12" i="1"/>
  <c r="D11" i="1"/>
  <c r="D16" i="1"/>
  <c r="D17" i="1"/>
  <c r="D3" i="1"/>
  <c r="F4" i="1"/>
  <c r="F5" i="1"/>
  <c r="F6" i="1"/>
  <c r="F7" i="1"/>
  <c r="F8" i="1"/>
  <c r="F9" i="1"/>
  <c r="F10" i="1"/>
  <c r="F13" i="1"/>
  <c r="F14" i="1"/>
  <c r="F15" i="1"/>
  <c r="F12" i="1"/>
  <c r="F11" i="1"/>
  <c r="F16" i="1"/>
  <c r="F17" i="1"/>
  <c r="F3" i="1"/>
</calcChain>
</file>

<file path=xl/sharedStrings.xml><?xml version="1.0" encoding="utf-8"?>
<sst xmlns="http://schemas.openxmlformats.org/spreadsheetml/2006/main" count="120" uniqueCount="30">
  <si>
    <t>test_data</t>
  </si>
  <si>
    <t>FBPReconstructor</t>
  </si>
  <si>
    <t>ADMMReconstructor</t>
  </si>
  <si>
    <t>ISTAReconstructor</t>
  </si>
  <si>
    <t>MLEMReconstructor</t>
  </si>
  <si>
    <t>GaussNewtonReconstructor</t>
  </si>
  <si>
    <t>Hybrid UNet Residual model sigma 8</t>
  </si>
  <si>
    <t>LandweberReconstructor</t>
  </si>
  <si>
    <t>Hbrd Transf0-CT Progr Training 300K Itr</t>
  </si>
  <si>
    <t>Hybrid UNet Residual model sigma 15</t>
  </si>
  <si>
    <t>Hybrid UNet Residual model sigma 25</t>
  </si>
  <si>
    <t>Hybrid UNet Residual model sigma 35</t>
  </si>
  <si>
    <t>Hbrd Transf4-CT Progr Training 24K Itr</t>
  </si>
  <si>
    <t>CGReconstructor</t>
  </si>
  <si>
    <t>IRadonMapReconstructor</t>
  </si>
  <si>
    <t>Hbrd Transf1-CT retrn fixPatch 240K Itr</t>
  </si>
  <si>
    <t>LoDoPab part 'Test'</t>
  </si>
  <si>
    <t>PSNR_Rank</t>
  </si>
  <si>
    <t>SSIM_Rank</t>
  </si>
  <si>
    <t>PSNR ↑</t>
  </si>
  <si>
    <t>SSIM ↑</t>
  </si>
  <si>
    <t>LoDoPab  3,553 LDCTs</t>
  </si>
  <si>
    <t>Test Data</t>
  </si>
  <si>
    <t>BFGSReconstructor</t>
  </si>
  <si>
    <t>Hbrd Transf5-Pre_Trained_blind</t>
  </si>
  <si>
    <t>Hybrid UNet Residual model sigma 42</t>
  </si>
  <si>
    <t>Hbrd Transf_0-GreyImage Progr Training 300K Itr</t>
  </si>
  <si>
    <t>Hbrd Transf_1-CT retrn fixPatch 240K Itr</t>
  </si>
  <si>
    <t>Hbrd Transf_4-CT Progr Training 24K, 12Kth Itr select</t>
  </si>
  <si>
    <t>Hbrd Transf_5-Pre_Trained_blind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</si>
</sst>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0" fillId="0" borderId="2" xfId="0" applyBorder="1"/>
    <xf numFmtId="0" fontId="3" fillId="0" borderId="0" xfId="0" applyFont="1"/>
    <xf numFmtId="0" fontId="4" fillId="0" borderId="2" xfId="0" applyFont="1" applyBorder="1"/>
    <xf numFmtId="0" fontId="2" fillId="0" borderId="2" xfId="0" applyFont="1" applyBorder="1"/>
    <xf numFmtId="0" fontId="2" fillId="0" borderId="0" xfId="0" applyFont="1"/>
    <xf numFmtId="0" fontId="0" fillId="0" borderId="3" xfId="0" applyBorder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2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1" xfId="0" applyFont="1" applyBorder="1"/>
    <xf numFmtId="0" fontId="0" fillId="0" borderId="0" xfId="0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11" fontId="0" fillId="0" borderId="0" xfId="0" applyNumberFormat="1"/>
    <xf numFmtId="0" fontId="5" fillId="0" borderId="0" xfId="0" applyFont="1"/>
    <xf numFmtId="0" fontId="6" fillId="0" borderId="0" xfId="0" applyFont="1"/>
    <xf numFmtId="0" fontId="6" fillId="0" borderId="0" xfId="0" applyFont="1" applyAlignment="1">
      <alignment horizontal="center"/>
    </xf>
    <xf numFmtId="0" fontId="6" fillId="0" borderId="2" xfId="0" applyFont="1" applyBorder="1"/>
    <xf numFmtId="0" fontId="6" fillId="0" borderId="2" xfId="0" applyFont="1" applyBorder="1" applyAlignment="1">
      <alignment horizontal="center"/>
    </xf>
    <xf numFmtId="11" fontId="6" fillId="0" borderId="0" xfId="0" applyNumberFormat="1" applyFont="1" applyAlignment="1">
      <alignment horizontal="center"/>
    </xf>
    <xf numFmtId="0" fontId="4" fillId="0" borderId="0" xfId="0" applyFont="1" applyBorder="1"/>
    <xf numFmtId="0" fontId="6" fillId="0" borderId="0" xfId="0" applyFont="1" applyBorder="1"/>
    <xf numFmtId="0" fontId="6" fillId="0" borderId="0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"/>
  <sheetViews>
    <sheetView showGridLines="0" workbookViewId="0">
      <selection activeCell="A24" sqref="A24"/>
    </sheetView>
  </sheetViews>
  <sheetFormatPr defaultRowHeight="15" x14ac:dyDescent="0.25"/>
  <cols>
    <col min="1" max="1" width="45.140625" customWidth="1"/>
    <col min="2" max="2" width="19" customWidth="1"/>
    <col min="3" max="6" width="14.7109375" customWidth="1"/>
  </cols>
  <sheetData>
    <row r="1" spans="1:6" s="2" customFormat="1" ht="27" customHeight="1" x14ac:dyDescent="0.25">
      <c r="A1" s="4"/>
      <c r="B1" s="4" t="s">
        <v>0</v>
      </c>
      <c r="C1" s="4" t="s">
        <v>19</v>
      </c>
      <c r="D1" s="4" t="s">
        <v>17</v>
      </c>
      <c r="E1" s="4" t="s">
        <v>20</v>
      </c>
      <c r="F1" s="4" t="s">
        <v>18</v>
      </c>
    </row>
    <row r="2" spans="1:6" s="2" customFormat="1" ht="13.5" customHeight="1" x14ac:dyDescent="0.25">
      <c r="A2" s="1"/>
      <c r="B2" s="1"/>
      <c r="C2" s="1"/>
      <c r="D2" s="1"/>
      <c r="E2" s="1"/>
      <c r="F2" s="1"/>
    </row>
    <row r="3" spans="1:6" x14ac:dyDescent="0.25">
      <c r="A3" s="3" t="s">
        <v>1</v>
      </c>
      <c r="B3" t="s">
        <v>16</v>
      </c>
      <c r="C3">
        <v>25.4</v>
      </c>
      <c r="D3">
        <f t="shared" ref="D3:D17" si="0">RANK(C3,$C$3:$C$17)</f>
        <v>9</v>
      </c>
      <c r="E3">
        <v>0.45519999999999999</v>
      </c>
      <c r="F3">
        <f t="shared" ref="F3:F17" si="1">RANK(E3,$E$3:$E$17)</f>
        <v>12</v>
      </c>
    </row>
    <row r="4" spans="1:6" x14ac:dyDescent="0.25">
      <c r="A4" s="3" t="s">
        <v>2</v>
      </c>
      <c r="B4" t="s">
        <v>16</v>
      </c>
      <c r="C4">
        <v>11.6</v>
      </c>
      <c r="D4">
        <f t="shared" si="0"/>
        <v>14</v>
      </c>
      <c r="E4">
        <v>7.3730000000000004E-2</v>
      </c>
      <c r="F4">
        <f t="shared" si="1"/>
        <v>14</v>
      </c>
    </row>
    <row r="5" spans="1:6" x14ac:dyDescent="0.25">
      <c r="A5" s="3" t="s">
        <v>3</v>
      </c>
      <c r="B5" t="s">
        <v>16</v>
      </c>
      <c r="C5">
        <v>11.6</v>
      </c>
      <c r="D5">
        <f t="shared" si="0"/>
        <v>14</v>
      </c>
      <c r="E5">
        <v>7.3719999999999994E-2</v>
      </c>
      <c r="F5">
        <f t="shared" si="1"/>
        <v>15</v>
      </c>
    </row>
    <row r="6" spans="1:6" x14ac:dyDescent="0.25">
      <c r="A6" s="3" t="s">
        <v>4</v>
      </c>
      <c r="B6" t="s">
        <v>16</v>
      </c>
      <c r="C6">
        <v>17.93</v>
      </c>
      <c r="D6">
        <f t="shared" si="0"/>
        <v>13</v>
      </c>
      <c r="E6">
        <v>0.44879999999999998</v>
      </c>
      <c r="F6">
        <f t="shared" si="1"/>
        <v>13</v>
      </c>
    </row>
    <row r="7" spans="1:6" x14ac:dyDescent="0.25">
      <c r="A7" s="3" t="s">
        <v>5</v>
      </c>
      <c r="B7" t="s">
        <v>16</v>
      </c>
      <c r="C7">
        <v>18.47</v>
      </c>
      <c r="D7">
        <f t="shared" si="0"/>
        <v>12</v>
      </c>
      <c r="E7">
        <v>0.48309999999999997</v>
      </c>
      <c r="F7">
        <f t="shared" si="1"/>
        <v>9</v>
      </c>
    </row>
    <row r="8" spans="1:6" x14ac:dyDescent="0.25">
      <c r="A8" s="6" t="s">
        <v>6</v>
      </c>
      <c r="B8" t="s">
        <v>16</v>
      </c>
      <c r="C8">
        <v>22.99</v>
      </c>
      <c r="D8">
        <f t="shared" si="0"/>
        <v>11</v>
      </c>
      <c r="E8">
        <v>0.48</v>
      </c>
      <c r="F8">
        <f t="shared" si="1"/>
        <v>10</v>
      </c>
    </row>
    <row r="9" spans="1:6" x14ac:dyDescent="0.25">
      <c r="A9" s="3" t="s">
        <v>7</v>
      </c>
      <c r="B9" t="s">
        <v>16</v>
      </c>
      <c r="C9">
        <v>23.01</v>
      </c>
      <c r="D9">
        <f t="shared" si="0"/>
        <v>10</v>
      </c>
      <c r="E9">
        <v>0.56030000000000002</v>
      </c>
      <c r="F9">
        <f t="shared" si="1"/>
        <v>7</v>
      </c>
    </row>
    <row r="10" spans="1:6" x14ac:dyDescent="0.25">
      <c r="A10" s="6" t="s">
        <v>8</v>
      </c>
      <c r="B10" t="s">
        <v>16</v>
      </c>
      <c r="C10">
        <v>25.89</v>
      </c>
      <c r="D10">
        <f t="shared" si="0"/>
        <v>8</v>
      </c>
      <c r="E10">
        <v>0.47549999999999998</v>
      </c>
      <c r="F10">
        <f t="shared" si="1"/>
        <v>11</v>
      </c>
    </row>
    <row r="11" spans="1:6" x14ac:dyDescent="0.25">
      <c r="A11" s="3" t="s">
        <v>13</v>
      </c>
      <c r="B11" t="s">
        <v>16</v>
      </c>
      <c r="C11">
        <v>26.43</v>
      </c>
      <c r="D11">
        <f t="shared" si="0"/>
        <v>7</v>
      </c>
      <c r="E11">
        <v>0.64410000000000001</v>
      </c>
      <c r="F11">
        <f t="shared" si="1"/>
        <v>5</v>
      </c>
    </row>
    <row r="12" spans="1:6" x14ac:dyDescent="0.25">
      <c r="A12" s="6" t="s">
        <v>12</v>
      </c>
      <c r="B12" t="s">
        <v>16</v>
      </c>
      <c r="C12">
        <v>27.24</v>
      </c>
      <c r="D12">
        <f t="shared" si="0"/>
        <v>6</v>
      </c>
      <c r="E12">
        <v>0.54330000000000001</v>
      </c>
      <c r="F12">
        <f t="shared" si="1"/>
        <v>8</v>
      </c>
    </row>
    <row r="13" spans="1:6" x14ac:dyDescent="0.25">
      <c r="A13" s="6" t="s">
        <v>9</v>
      </c>
      <c r="B13" t="s">
        <v>16</v>
      </c>
      <c r="C13">
        <v>27.63</v>
      </c>
      <c r="D13">
        <f t="shared" si="0"/>
        <v>5</v>
      </c>
      <c r="E13">
        <v>0.61799999999999999</v>
      </c>
      <c r="F13">
        <f t="shared" si="1"/>
        <v>6</v>
      </c>
    </row>
    <row r="14" spans="1:6" x14ac:dyDescent="0.25">
      <c r="A14" s="6" t="s">
        <v>10</v>
      </c>
      <c r="B14" t="s">
        <v>16</v>
      </c>
      <c r="C14">
        <v>29.35</v>
      </c>
      <c r="D14">
        <f t="shared" si="0"/>
        <v>4</v>
      </c>
      <c r="E14">
        <v>0.68530000000000002</v>
      </c>
      <c r="F14">
        <f t="shared" si="1"/>
        <v>4</v>
      </c>
    </row>
    <row r="15" spans="1:6" x14ac:dyDescent="0.25">
      <c r="A15" s="6" t="s">
        <v>11</v>
      </c>
      <c r="B15" t="s">
        <v>16</v>
      </c>
      <c r="C15">
        <v>30.14</v>
      </c>
      <c r="D15">
        <f t="shared" si="0"/>
        <v>3</v>
      </c>
      <c r="E15">
        <v>0.72199999999999998</v>
      </c>
      <c r="F15">
        <f t="shared" si="1"/>
        <v>2</v>
      </c>
    </row>
    <row r="16" spans="1:6" x14ac:dyDescent="0.25">
      <c r="A16" s="3" t="s">
        <v>14</v>
      </c>
      <c r="B16" t="s">
        <v>16</v>
      </c>
      <c r="C16">
        <v>30.4</v>
      </c>
      <c r="D16">
        <f t="shared" si="0"/>
        <v>2</v>
      </c>
      <c r="E16" s="9">
        <v>0.72929999999999995</v>
      </c>
      <c r="F16">
        <f t="shared" si="1"/>
        <v>1</v>
      </c>
    </row>
    <row r="17" spans="1:6" ht="15.75" thickBot="1" x14ac:dyDescent="0.3">
      <c r="A17" s="7" t="s">
        <v>15</v>
      </c>
      <c r="B17" s="5" t="s">
        <v>16</v>
      </c>
      <c r="C17" s="8">
        <v>30.58</v>
      </c>
      <c r="D17" s="5">
        <f t="shared" si="0"/>
        <v>1</v>
      </c>
      <c r="E17" s="5">
        <v>0.71319999999999995</v>
      </c>
      <c r="F17" s="5">
        <f t="shared" si="1"/>
        <v>3</v>
      </c>
    </row>
    <row r="20" spans="1:6" ht="15.75" thickBot="1" x14ac:dyDescent="0.3">
      <c r="A20" s="10"/>
      <c r="B20" s="10" t="s">
        <v>16</v>
      </c>
      <c r="C20" s="10"/>
      <c r="D20" s="10"/>
      <c r="E20" s="10"/>
      <c r="F20" s="10"/>
    </row>
  </sheetData>
  <autoFilter ref="A1:F17" xr:uid="{00000000-0001-0000-0000-000000000000}"/>
  <sortState xmlns:xlrd2="http://schemas.microsoft.com/office/spreadsheetml/2017/richdata2" ref="A4:F17">
    <sortCondition descending="1" ref="D4:D17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1D9E9-72CB-4C04-BF89-63061AD76D3A}">
  <dimension ref="A1:O33"/>
  <sheetViews>
    <sheetView showGridLines="0" zoomScaleNormal="100" workbookViewId="0">
      <selection activeCell="K15" sqref="K15"/>
    </sheetView>
  </sheetViews>
  <sheetFormatPr defaultRowHeight="15" x14ac:dyDescent="0.25"/>
  <cols>
    <col min="1" max="1" width="45.140625" customWidth="1"/>
    <col min="2" max="2" width="19" customWidth="1"/>
    <col min="3" max="4" width="14.7109375" style="11" customWidth="1"/>
    <col min="5" max="6" width="6.140625" style="11" customWidth="1"/>
  </cols>
  <sheetData>
    <row r="1" spans="1:6" s="16" customFormat="1" ht="33" customHeight="1" thickBot="1" x14ac:dyDescent="0.3">
      <c r="A1" s="17"/>
      <c r="B1" s="17" t="s">
        <v>22</v>
      </c>
      <c r="C1" s="17" t="s">
        <v>19</v>
      </c>
      <c r="D1" s="17" t="s">
        <v>20</v>
      </c>
      <c r="E1" s="17" t="s">
        <v>17</v>
      </c>
      <c r="F1" s="17" t="s">
        <v>18</v>
      </c>
    </row>
    <row r="2" spans="1:6" s="2" customFormat="1" ht="13.5" customHeight="1" x14ac:dyDescent="0.25">
      <c r="A2" s="1"/>
      <c r="B2" s="1"/>
      <c r="C2" s="1"/>
      <c r="D2" s="1"/>
      <c r="E2" s="1"/>
      <c r="F2" s="1"/>
    </row>
    <row r="3" spans="1:6" x14ac:dyDescent="0.25">
      <c r="A3" s="15" t="s">
        <v>1</v>
      </c>
      <c r="B3" s="20" t="s">
        <v>16</v>
      </c>
      <c r="C3" s="21">
        <v>23.79</v>
      </c>
      <c r="D3" s="21">
        <v>0.40029999999999999</v>
      </c>
      <c r="E3" s="21">
        <f t="shared" ref="E3" si="0">RANK(C3,$C$3:$C$20)</f>
        <v>11</v>
      </c>
      <c r="F3" s="21">
        <f t="shared" ref="F3" si="1">RANK(D3,$D$3:$D$20)</f>
        <v>15</v>
      </c>
    </row>
    <row r="4" spans="1:6" x14ac:dyDescent="0.25">
      <c r="A4" s="19" t="s">
        <v>23</v>
      </c>
      <c r="B4" s="20" t="s">
        <v>16</v>
      </c>
      <c r="C4" s="21">
        <v>-48.54</v>
      </c>
      <c r="D4" s="21">
        <v>4.7500000000000002E-8</v>
      </c>
      <c r="E4" s="21">
        <f t="shared" ref="E4:E20" si="2">RANK(C4,$C$3:$C$20)</f>
        <v>18</v>
      </c>
      <c r="F4" s="21">
        <f t="shared" ref="F4:F20" si="3">RANK(D4,$D$3:$D$20)</f>
        <v>18</v>
      </c>
    </row>
    <row r="5" spans="1:6" x14ac:dyDescent="0.25">
      <c r="A5" s="19" t="s">
        <v>3</v>
      </c>
      <c r="B5" s="20" t="s">
        <v>16</v>
      </c>
      <c r="C5" s="21">
        <v>10.27</v>
      </c>
      <c r="D5" s="21">
        <v>7.1199999999999999E-2</v>
      </c>
      <c r="E5" s="21">
        <f t="shared" si="2"/>
        <v>16</v>
      </c>
      <c r="F5" s="21">
        <f t="shared" si="3"/>
        <v>17</v>
      </c>
    </row>
    <row r="6" spans="1:6" x14ac:dyDescent="0.25">
      <c r="A6" s="19" t="s">
        <v>2</v>
      </c>
      <c r="B6" s="20" t="s">
        <v>16</v>
      </c>
      <c r="C6" s="21">
        <v>10.27</v>
      </c>
      <c r="D6" s="21">
        <v>7.1209999999999996E-2</v>
      </c>
      <c r="E6" s="21">
        <f t="shared" si="2"/>
        <v>16</v>
      </c>
      <c r="F6" s="21">
        <f t="shared" si="3"/>
        <v>16</v>
      </c>
    </row>
    <row r="7" spans="1:6" x14ac:dyDescent="0.25">
      <c r="A7" s="19" t="s">
        <v>4</v>
      </c>
      <c r="B7" s="20" t="s">
        <v>16</v>
      </c>
      <c r="C7" s="21">
        <v>17.239999999999998</v>
      </c>
      <c r="D7" s="21">
        <v>0.43569999999999998</v>
      </c>
      <c r="E7" s="21">
        <f t="shared" si="2"/>
        <v>15</v>
      </c>
      <c r="F7" s="21">
        <f t="shared" si="3"/>
        <v>11</v>
      </c>
    </row>
    <row r="8" spans="1:6" x14ac:dyDescent="0.25">
      <c r="A8" s="19" t="s">
        <v>5</v>
      </c>
      <c r="B8" s="20" t="s">
        <v>16</v>
      </c>
      <c r="C8" s="21">
        <v>17.489999999999998</v>
      </c>
      <c r="D8" s="21">
        <v>0.47070000000000001</v>
      </c>
      <c r="E8" s="21">
        <f t="shared" si="2"/>
        <v>14</v>
      </c>
      <c r="F8" s="21">
        <f t="shared" si="3"/>
        <v>10</v>
      </c>
    </row>
    <row r="9" spans="1:6" x14ac:dyDescent="0.25">
      <c r="A9" s="6" t="s">
        <v>6</v>
      </c>
      <c r="B9" s="20" t="s">
        <v>16</v>
      </c>
      <c r="C9" s="21">
        <v>20.41</v>
      </c>
      <c r="D9" s="21">
        <v>0.40229999999999999</v>
      </c>
      <c r="E9" s="21">
        <f t="shared" si="2"/>
        <v>13</v>
      </c>
      <c r="F9" s="21">
        <f t="shared" si="3"/>
        <v>14</v>
      </c>
    </row>
    <row r="10" spans="1:6" x14ac:dyDescent="0.25">
      <c r="A10" s="19" t="s">
        <v>7</v>
      </c>
      <c r="B10" s="20" t="s">
        <v>16</v>
      </c>
      <c r="C10" s="21">
        <v>22.41</v>
      </c>
      <c r="D10" s="21">
        <v>0.55169999999999997</v>
      </c>
      <c r="E10" s="21">
        <f t="shared" si="2"/>
        <v>12</v>
      </c>
      <c r="F10" s="21">
        <f t="shared" si="3"/>
        <v>8</v>
      </c>
    </row>
    <row r="11" spans="1:6" x14ac:dyDescent="0.25">
      <c r="A11" s="6" t="s">
        <v>24</v>
      </c>
      <c r="B11" s="20" t="s">
        <v>16</v>
      </c>
      <c r="C11" s="21">
        <v>24.21</v>
      </c>
      <c r="D11" s="21">
        <v>0.41799999999999998</v>
      </c>
      <c r="E11" s="21">
        <f t="shared" si="2"/>
        <v>10</v>
      </c>
      <c r="F11" s="21">
        <f t="shared" si="3"/>
        <v>12</v>
      </c>
    </row>
    <row r="12" spans="1:6" x14ac:dyDescent="0.25">
      <c r="A12" s="6" t="s">
        <v>8</v>
      </c>
      <c r="B12" s="20" t="s">
        <v>16</v>
      </c>
      <c r="C12" s="21">
        <v>24.22</v>
      </c>
      <c r="D12" s="21">
        <v>0.41660000000000003</v>
      </c>
      <c r="E12" s="21">
        <f t="shared" si="2"/>
        <v>9</v>
      </c>
      <c r="F12" s="21">
        <f t="shared" si="3"/>
        <v>13</v>
      </c>
    </row>
    <row r="13" spans="1:6" x14ac:dyDescent="0.25">
      <c r="A13" s="6" t="s">
        <v>9</v>
      </c>
      <c r="B13" s="20" t="s">
        <v>16</v>
      </c>
      <c r="C13" s="21">
        <v>25.44</v>
      </c>
      <c r="D13" s="21">
        <v>0.55810000000000004</v>
      </c>
      <c r="E13" s="21">
        <f t="shared" si="2"/>
        <v>8</v>
      </c>
      <c r="F13" s="21">
        <f t="shared" si="3"/>
        <v>7</v>
      </c>
    </row>
    <row r="14" spans="1:6" x14ac:dyDescent="0.25">
      <c r="A14" s="6" t="s">
        <v>12</v>
      </c>
      <c r="B14" s="20" t="s">
        <v>16</v>
      </c>
      <c r="C14" s="21">
        <v>25.65</v>
      </c>
      <c r="D14" s="21">
        <v>0.4834</v>
      </c>
      <c r="E14" s="21">
        <f t="shared" si="2"/>
        <v>7</v>
      </c>
      <c r="F14" s="21">
        <f t="shared" si="3"/>
        <v>9</v>
      </c>
    </row>
    <row r="15" spans="1:6" x14ac:dyDescent="0.25">
      <c r="A15" s="19" t="s">
        <v>13</v>
      </c>
      <c r="B15" s="20" t="s">
        <v>16</v>
      </c>
      <c r="C15" s="21">
        <v>25.8</v>
      </c>
      <c r="D15" s="21">
        <v>0.62539999999999996</v>
      </c>
      <c r="E15" s="21">
        <f t="shared" si="2"/>
        <v>6</v>
      </c>
      <c r="F15" s="21">
        <f t="shared" si="3"/>
        <v>6</v>
      </c>
    </row>
    <row r="16" spans="1:6" x14ac:dyDescent="0.25">
      <c r="A16" s="6" t="s">
        <v>25</v>
      </c>
      <c r="B16" s="20" t="s">
        <v>16</v>
      </c>
      <c r="C16" s="21">
        <v>28.86</v>
      </c>
      <c r="D16" s="21">
        <v>0.6774</v>
      </c>
      <c r="E16" s="21">
        <f t="shared" si="2"/>
        <v>5</v>
      </c>
      <c r="F16" s="21">
        <f t="shared" si="3"/>
        <v>3</v>
      </c>
    </row>
    <row r="17" spans="1:15" x14ac:dyDescent="0.25">
      <c r="A17" s="6" t="s">
        <v>10</v>
      </c>
      <c r="B17" s="20" t="s">
        <v>16</v>
      </c>
      <c r="C17" s="21">
        <v>29</v>
      </c>
      <c r="D17" s="21">
        <v>0.66839999999999999</v>
      </c>
      <c r="E17" s="21">
        <f t="shared" si="2"/>
        <v>4</v>
      </c>
      <c r="F17" s="21">
        <f t="shared" si="3"/>
        <v>5</v>
      </c>
    </row>
    <row r="18" spans="1:15" x14ac:dyDescent="0.25">
      <c r="A18" s="6" t="s">
        <v>11</v>
      </c>
      <c r="B18" s="20" t="s">
        <v>16</v>
      </c>
      <c r="C18" s="21">
        <v>29.26</v>
      </c>
      <c r="D18" s="21">
        <v>0.68440000000000001</v>
      </c>
      <c r="E18" s="21">
        <f t="shared" si="2"/>
        <v>3</v>
      </c>
      <c r="F18" s="12">
        <f t="shared" si="3"/>
        <v>2</v>
      </c>
    </row>
    <row r="19" spans="1:15" x14ac:dyDescent="0.25">
      <c r="A19" s="19" t="s">
        <v>14</v>
      </c>
      <c r="B19" s="20" t="s">
        <v>16</v>
      </c>
      <c r="C19" s="21">
        <v>29.5</v>
      </c>
      <c r="D19" s="21">
        <v>0.69979999999999998</v>
      </c>
      <c r="E19" s="21">
        <f t="shared" si="2"/>
        <v>2</v>
      </c>
      <c r="F19" s="21">
        <f t="shared" si="3"/>
        <v>1</v>
      </c>
    </row>
    <row r="20" spans="1:15" ht="15.75" thickBot="1" x14ac:dyDescent="0.3">
      <c r="A20" s="7" t="s">
        <v>15</v>
      </c>
      <c r="B20" s="22" t="s">
        <v>16</v>
      </c>
      <c r="C20" s="23">
        <v>29.59</v>
      </c>
      <c r="D20" s="23">
        <v>0.6774</v>
      </c>
      <c r="E20" s="13">
        <f t="shared" si="2"/>
        <v>1</v>
      </c>
      <c r="F20" s="23">
        <f t="shared" si="3"/>
        <v>3</v>
      </c>
    </row>
    <row r="23" spans="1:15" ht="15.75" thickBot="1" x14ac:dyDescent="0.3">
      <c r="A23" s="10"/>
      <c r="B23" s="10" t="s">
        <v>21</v>
      </c>
      <c r="C23" s="14"/>
      <c r="D23" s="14"/>
      <c r="E23" s="14"/>
      <c r="F23" s="14"/>
    </row>
    <row r="25" spans="1:15" x14ac:dyDescent="0.25">
      <c r="J25" s="16"/>
      <c r="K25" s="16"/>
      <c r="L25" s="16"/>
      <c r="M25" s="16"/>
      <c r="N25" s="16"/>
      <c r="O25" s="16"/>
    </row>
    <row r="26" spans="1:15" x14ac:dyDescent="0.25">
      <c r="J26" s="2"/>
      <c r="K26" s="2"/>
      <c r="L26" s="2"/>
      <c r="M26" s="2"/>
      <c r="N26" s="2"/>
      <c r="O26" s="2"/>
    </row>
    <row r="33" spans="15:15" x14ac:dyDescent="0.25">
      <c r="O33" s="18"/>
    </row>
  </sheetData>
  <autoFilter ref="A1:F20" xr:uid="{00000000-0001-0000-0000-000000000000}"/>
  <sortState xmlns:xlrd2="http://schemas.microsoft.com/office/spreadsheetml/2017/richdata2" ref="A4:F20">
    <sortCondition descending="1" ref="E4:E20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F8B6C-0800-4D07-9B3C-75DAD3ABA7C0}">
  <dimension ref="A1:O33"/>
  <sheetViews>
    <sheetView showGridLines="0" tabSelected="1" zoomScaleNormal="100" workbookViewId="0">
      <selection activeCell="D8" sqref="D8"/>
    </sheetView>
  </sheetViews>
  <sheetFormatPr defaultRowHeight="15" x14ac:dyDescent="0.25"/>
  <cols>
    <col min="1" max="1" width="49.140625" customWidth="1"/>
    <col min="2" max="2" width="19" customWidth="1"/>
    <col min="3" max="4" width="14.7109375" style="11" customWidth="1"/>
    <col min="5" max="6" width="6.140625" style="11" customWidth="1"/>
  </cols>
  <sheetData>
    <row r="1" spans="1:6" s="16" customFormat="1" ht="33" customHeight="1" thickBot="1" x14ac:dyDescent="0.3">
      <c r="A1" s="17"/>
      <c r="B1" s="17" t="s">
        <v>22</v>
      </c>
      <c r="C1" s="17" t="s">
        <v>19</v>
      </c>
      <c r="D1" s="17" t="s">
        <v>20</v>
      </c>
      <c r="E1" s="17" t="s">
        <v>17</v>
      </c>
      <c r="F1" s="17" t="s">
        <v>18</v>
      </c>
    </row>
    <row r="2" spans="1:6" s="2" customFormat="1" ht="13.5" customHeight="1" x14ac:dyDescent="0.25">
      <c r="A2" s="1"/>
      <c r="B2" s="1"/>
      <c r="C2" s="1"/>
      <c r="D2" s="1"/>
      <c r="E2" s="1"/>
      <c r="F2" s="1"/>
    </row>
    <row r="3" spans="1:6" x14ac:dyDescent="0.25">
      <c r="A3" s="15" t="s">
        <v>1</v>
      </c>
      <c r="B3" s="20" t="s">
        <v>16</v>
      </c>
      <c r="C3" s="21">
        <v>25.4</v>
      </c>
      <c r="D3" s="21">
        <v>0.45519999999999999</v>
      </c>
      <c r="E3" s="21">
        <f t="shared" ref="E3:E20" si="0">RANK(C3,$C$3:$C$20)</f>
        <v>11</v>
      </c>
      <c r="F3" s="21">
        <f t="shared" ref="F3:F20" si="1">RANK(D3,$D$3:$D$20)</f>
        <v>14</v>
      </c>
    </row>
    <row r="4" spans="1:6" x14ac:dyDescent="0.25">
      <c r="A4" s="19" t="s">
        <v>23</v>
      </c>
      <c r="B4" s="20" t="s">
        <v>16</v>
      </c>
      <c r="C4" s="21">
        <v>-45.97</v>
      </c>
      <c r="D4" s="24">
        <v>5.4200000000000002E-8</v>
      </c>
      <c r="E4" s="21">
        <f>RANK(C4,$C$3:$C$20)</f>
        <v>18</v>
      </c>
      <c r="F4" s="21">
        <f>RANK(D4,$D$3:$D$20)</f>
        <v>18</v>
      </c>
    </row>
    <row r="5" spans="1:6" x14ac:dyDescent="0.25">
      <c r="A5" s="19" t="s">
        <v>3</v>
      </c>
      <c r="B5" s="20" t="s">
        <v>16</v>
      </c>
      <c r="C5" s="21">
        <v>11.6</v>
      </c>
      <c r="D5" s="21">
        <v>7.3719999999999994E-2</v>
      </c>
      <c r="E5" s="21">
        <f>RANK(C5,$C$3:$C$20)</f>
        <v>16</v>
      </c>
      <c r="F5" s="21">
        <f>RANK(D5,$D$3:$D$20)</f>
        <v>17</v>
      </c>
    </row>
    <row r="6" spans="1:6" x14ac:dyDescent="0.25">
      <c r="A6" s="19" t="s">
        <v>2</v>
      </c>
      <c r="B6" s="20" t="s">
        <v>16</v>
      </c>
      <c r="C6" s="21">
        <v>11.6</v>
      </c>
      <c r="D6" s="21">
        <v>7.3730000000000004E-2</v>
      </c>
      <c r="E6" s="21">
        <f>RANK(C6,$C$3:$C$20)</f>
        <v>16</v>
      </c>
      <c r="F6" s="21">
        <f>RANK(D6,$D$3:$D$20)</f>
        <v>16</v>
      </c>
    </row>
    <row r="7" spans="1:6" x14ac:dyDescent="0.25">
      <c r="A7" s="19" t="s">
        <v>4</v>
      </c>
      <c r="B7" s="20" t="s">
        <v>16</v>
      </c>
      <c r="C7" s="21">
        <v>17.93</v>
      </c>
      <c r="D7" s="21">
        <v>0.44879999999999998</v>
      </c>
      <c r="E7" s="21">
        <f>RANK(C7,$C$3:$C$20)</f>
        <v>15</v>
      </c>
      <c r="F7" s="21">
        <f>RANK(D7,$D$3:$D$20)</f>
        <v>15</v>
      </c>
    </row>
    <row r="8" spans="1:6" x14ac:dyDescent="0.25">
      <c r="A8" s="19" t="s">
        <v>5</v>
      </c>
      <c r="B8" s="20" t="s">
        <v>16</v>
      </c>
      <c r="C8" s="21">
        <v>18.47</v>
      </c>
      <c r="D8" s="21">
        <v>0.48309999999999997</v>
      </c>
      <c r="E8" s="21">
        <f>RANK(C8,$C$3:$C$20)</f>
        <v>14</v>
      </c>
      <c r="F8" s="21">
        <f>RANK(D8,$D$3:$D$20)</f>
        <v>12</v>
      </c>
    </row>
    <row r="9" spans="1:6" x14ac:dyDescent="0.25">
      <c r="A9" s="6" t="s">
        <v>6</v>
      </c>
      <c r="B9" s="20" t="s">
        <v>16</v>
      </c>
      <c r="C9" s="21">
        <v>22.99</v>
      </c>
      <c r="D9" s="21">
        <v>0.48</v>
      </c>
      <c r="E9" s="21">
        <f>RANK(C9,$C$3:$C$20)</f>
        <v>13</v>
      </c>
      <c r="F9" s="21">
        <f>RANK(D9,$D$3:$D$20)</f>
        <v>13</v>
      </c>
    </row>
    <row r="10" spans="1:6" x14ac:dyDescent="0.25">
      <c r="A10" s="19" t="s">
        <v>7</v>
      </c>
      <c r="B10" s="20" t="s">
        <v>16</v>
      </c>
      <c r="C10" s="21">
        <v>23.01</v>
      </c>
      <c r="D10" s="21">
        <v>0.56030000000000002</v>
      </c>
      <c r="E10" s="21">
        <f>RANK(C10,$C$3:$C$20)</f>
        <v>12</v>
      </c>
      <c r="F10" s="21">
        <f>RANK(D10,$D$3:$D$20)</f>
        <v>11</v>
      </c>
    </row>
    <row r="11" spans="1:6" x14ac:dyDescent="0.25">
      <c r="A11" s="19" t="s">
        <v>13</v>
      </c>
      <c r="B11" s="20" t="s">
        <v>16</v>
      </c>
      <c r="C11" s="21">
        <v>26.43</v>
      </c>
      <c r="D11" s="21">
        <v>0.64410000000000001</v>
      </c>
      <c r="E11" s="21">
        <f>RANK(C11,$C$3:$C$20)</f>
        <v>10</v>
      </c>
      <c r="F11" s="21">
        <f>RANK(D11,$D$3:$D$20)</f>
        <v>9</v>
      </c>
    </row>
    <row r="12" spans="1:6" x14ac:dyDescent="0.25">
      <c r="A12" s="6" t="s">
        <v>9</v>
      </c>
      <c r="B12" s="20" t="s">
        <v>16</v>
      </c>
      <c r="C12" s="21">
        <v>27.63</v>
      </c>
      <c r="D12" s="21">
        <v>0.61799999999999999</v>
      </c>
      <c r="E12" s="21">
        <f>RANK(C12,$C$3:$C$20)</f>
        <v>9</v>
      </c>
      <c r="F12" s="21">
        <f>RANK(D12,$D$3:$D$20)</f>
        <v>10</v>
      </c>
    </row>
    <row r="13" spans="1:6" x14ac:dyDescent="0.25">
      <c r="A13" s="6" t="s">
        <v>10</v>
      </c>
      <c r="B13" s="20" t="s">
        <v>16</v>
      </c>
      <c r="C13" s="21">
        <v>29.35</v>
      </c>
      <c r="D13" s="21">
        <v>0.68530000000000002</v>
      </c>
      <c r="E13" s="21">
        <f>RANK(C13,$C$3:$C$20)</f>
        <v>8</v>
      </c>
      <c r="F13" s="21">
        <f>RANK(D13,$D$3:$D$20)</f>
        <v>8</v>
      </c>
    </row>
    <row r="14" spans="1:6" x14ac:dyDescent="0.25">
      <c r="A14" s="6" t="s">
        <v>25</v>
      </c>
      <c r="B14" s="26" t="s">
        <v>16</v>
      </c>
      <c r="C14" s="27">
        <v>29.91</v>
      </c>
      <c r="D14" s="27">
        <v>0.71489999999999998</v>
      </c>
      <c r="E14" s="27">
        <f>RANK(C14,$C$3:$C$20)</f>
        <v>7</v>
      </c>
      <c r="F14" s="27">
        <f>RANK(D14,$D$3:$D$20)</f>
        <v>7</v>
      </c>
    </row>
    <row r="15" spans="1:6" x14ac:dyDescent="0.25">
      <c r="A15" s="6" t="s">
        <v>11</v>
      </c>
      <c r="B15" s="20" t="s">
        <v>16</v>
      </c>
      <c r="C15" s="21">
        <v>30.14</v>
      </c>
      <c r="D15" s="21">
        <v>0.72199999999999998</v>
      </c>
      <c r="E15" s="21">
        <f>RANK(C15,$C$3:$C$20)</f>
        <v>6</v>
      </c>
      <c r="F15" s="21">
        <f>RANK(D15,$D$3:$D$20)</f>
        <v>3</v>
      </c>
    </row>
    <row r="16" spans="1:6" x14ac:dyDescent="0.25">
      <c r="A16" s="19" t="s">
        <v>14</v>
      </c>
      <c r="B16" s="20" t="s">
        <v>16</v>
      </c>
      <c r="C16" s="21">
        <v>30.4</v>
      </c>
      <c r="D16" s="21">
        <v>0.72929999999999995</v>
      </c>
      <c r="E16" s="21">
        <f>RANK(C16,$C$3:$C$20)</f>
        <v>5</v>
      </c>
      <c r="F16" s="29">
        <f>RANK(D16,$D$3:$D$20)</f>
        <v>1</v>
      </c>
    </row>
    <row r="17" spans="1:15" x14ac:dyDescent="0.25">
      <c r="A17" s="6" t="s">
        <v>27</v>
      </c>
      <c r="B17" s="20" t="s">
        <v>16</v>
      </c>
      <c r="C17" s="21">
        <v>31.05</v>
      </c>
      <c r="D17" s="21">
        <v>0.7198</v>
      </c>
      <c r="E17" s="21">
        <f>RANK(C17,$C$3:$C$20)</f>
        <v>4</v>
      </c>
      <c r="F17" s="21">
        <f>RANK(D17,$D$3:$D$20)</f>
        <v>4</v>
      </c>
    </row>
    <row r="18" spans="1:15" x14ac:dyDescent="0.25">
      <c r="A18" s="6" t="s">
        <v>26</v>
      </c>
      <c r="B18" s="20" t="s">
        <v>16</v>
      </c>
      <c r="C18" s="21">
        <v>31.22</v>
      </c>
      <c r="D18" s="21">
        <v>0.71750000000000003</v>
      </c>
      <c r="E18" s="21">
        <f>RANK(C18,$C$3:$C$20)</f>
        <v>3</v>
      </c>
      <c r="F18" s="21">
        <f>RANK(D18,$D$3:$D$20)</f>
        <v>5</v>
      </c>
    </row>
    <row r="19" spans="1:15" x14ac:dyDescent="0.25">
      <c r="A19" s="6" t="s">
        <v>29</v>
      </c>
      <c r="B19" s="20" t="s">
        <v>16</v>
      </c>
      <c r="C19" s="21">
        <v>31.23</v>
      </c>
      <c r="D19" s="21">
        <v>0.7157</v>
      </c>
      <c r="E19" s="30">
        <f>RANK(C19,$C$3:$C$20)</f>
        <v>2</v>
      </c>
      <c r="F19" s="21">
        <f>RANK(D19,$D$3:$D$20)</f>
        <v>6</v>
      </c>
    </row>
    <row r="20" spans="1:15" ht="15.75" thickBot="1" x14ac:dyDescent="0.3">
      <c r="A20" s="25" t="s">
        <v>28</v>
      </c>
      <c r="B20" s="22" t="s">
        <v>16</v>
      </c>
      <c r="C20" s="23">
        <v>31.4</v>
      </c>
      <c r="D20" s="23">
        <v>0.7228</v>
      </c>
      <c r="E20" s="28">
        <f>RANK(C20,$C$3:$C$20)</f>
        <v>1</v>
      </c>
      <c r="F20" s="31">
        <f>RANK(D20,$D$3:$D$20)</f>
        <v>2</v>
      </c>
    </row>
    <row r="23" spans="1:15" ht="15.75" thickBot="1" x14ac:dyDescent="0.3">
      <c r="A23" s="10"/>
      <c r="B23" s="10" t="s">
        <v>21</v>
      </c>
      <c r="C23" s="14"/>
      <c r="D23" s="14"/>
      <c r="E23" s="14"/>
      <c r="F23" s="14"/>
    </row>
    <row r="25" spans="1:15" x14ac:dyDescent="0.25">
      <c r="J25" s="16"/>
      <c r="K25" s="16"/>
      <c r="L25" s="16"/>
      <c r="M25" s="16"/>
      <c r="N25" s="16"/>
      <c r="O25" s="16"/>
    </row>
    <row r="26" spans="1:15" x14ac:dyDescent="0.25">
      <c r="J26" s="2"/>
      <c r="K26" s="2"/>
      <c r="L26" s="2"/>
      <c r="M26" s="2"/>
      <c r="N26" s="2"/>
      <c r="O26" s="2"/>
    </row>
    <row r="33" spans="15:15" x14ac:dyDescent="0.25">
      <c r="O33" s="18"/>
    </row>
  </sheetData>
  <autoFilter ref="A1:F20" xr:uid="{00000000-0001-0000-0000-000000000000}"/>
  <sortState xmlns:xlrd2="http://schemas.microsoft.com/office/spreadsheetml/2017/richdata2" ref="A4:F20">
    <sortCondition ref="C4:C2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x256 testsets</vt:lpstr>
      <vt:lpstr>x256 testsets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Hiran Piyarathna</dc:creator>
  <cp:lastModifiedBy>Piyarathna, Sasindu Mihiran</cp:lastModifiedBy>
  <dcterms:created xsi:type="dcterms:W3CDTF">2025-09-18T21:35:47Z</dcterms:created>
  <dcterms:modified xsi:type="dcterms:W3CDTF">2025-09-23T06:49:38Z</dcterms:modified>
</cp:coreProperties>
</file>